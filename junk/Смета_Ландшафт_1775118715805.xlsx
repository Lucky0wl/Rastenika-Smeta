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\ ##0.00[$ ₽]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33">
    <font>
      <name val="Arial"/>
      <charset val="134"/>
      <color rgb="FF000000"/>
      <sz val="10"/>
      <scheme val="minor"/>
    </font>
    <font>
      <name val="Arial"/>
      <charset val="134"/>
      <color theme="1"/>
      <sz val="13"/>
    </font>
    <font>
      <name val="Arial"/>
      <charset val="134"/>
      <sz val="10"/>
      <scheme val="minor"/>
    </font>
    <font>
      <name val="Manrope"/>
      <charset val="134"/>
      <b val="1"/>
      <color rgb="FFFFFFFF"/>
      <sz val="18"/>
    </font>
    <font>
      <name val="Manrope"/>
      <charset val="134"/>
      <b val="1"/>
      <color rgb="FFFFFFFF"/>
      <sz val="18"/>
      <u val="single"/>
    </font>
    <font>
      <name val="Manrope"/>
      <charset val="134"/>
      <b val="1"/>
      <color rgb="FFFFFFFF"/>
      <sz val="30"/>
    </font>
    <font>
      <name val="Arial"/>
      <charset val="134"/>
      <color theme="1"/>
      <sz val="10"/>
    </font>
    <font>
      <name val="Montserrat"/>
      <charset val="134"/>
      <b val="1"/>
      <color theme="1"/>
      <sz val="15"/>
    </font>
    <font>
      <name val="Manrope"/>
      <charset val="134"/>
      <color rgb="FFFFFFFF"/>
      <sz val="13"/>
    </font>
    <font>
      <name val="Manrope"/>
      <charset val="134"/>
      <b val="1"/>
      <color rgb="FFFFFFFF"/>
      <sz val="15"/>
    </font>
    <font>
      <name val="Manrope"/>
      <charset val="134"/>
      <b val="1"/>
      <color rgb="FFFFFFFF"/>
      <sz val="13"/>
    </font>
    <font>
      <name val="Manrope"/>
      <charset val="134"/>
      <b val="1"/>
      <color rgb="FFFFFFFF"/>
      <sz val="16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b val="1"/>
      <color rgb="00FFFFFF"/>
    </font>
  </fonts>
  <fills count="36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C7FF29"/>
        <bgColor rgb="FFC7FF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434343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/>
    <xf numFmtId="165" fontId="12" fillId="0" borderId="0" applyAlignment="1">
      <alignment vertical="center"/>
    </xf>
    <xf numFmtId="166" fontId="12" fillId="0" borderId="0" applyAlignment="1">
      <alignment vertical="center"/>
    </xf>
    <xf numFmtId="9" fontId="12" fillId="0" borderId="0" applyAlignment="1">
      <alignment vertical="center"/>
    </xf>
    <xf numFmtId="167" fontId="12" fillId="0" borderId="0" applyAlignment="1">
      <alignment vertical="center"/>
    </xf>
    <xf numFmtId="168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4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5" borderId="11" applyAlignment="1">
      <alignment vertical="center"/>
    </xf>
    <xf numFmtId="0" fontId="22" fillId="6" borderId="12" applyAlignment="1">
      <alignment vertical="center"/>
    </xf>
    <xf numFmtId="0" fontId="23" fillId="6" borderId="11" applyAlignment="1">
      <alignment vertical="center"/>
    </xf>
    <xf numFmtId="0" fontId="24" fillId="7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wrapText="1"/>
    </xf>
    <xf numFmtId="164" fontId="7" fillId="3" borderId="1" applyAlignment="1" pivotButton="0" quotePrefix="0" xfId="0">
      <alignment horizontal="center" wrapText="1"/>
    </xf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 wrapText="1"/>
    </xf>
    <xf numFmtId="164" fontId="9" fillId="2" borderId="0" applyAlignment="1" pivotButton="0" quotePrefix="0" xfId="0">
      <alignment horizontal="right"/>
    </xf>
    <xf numFmtId="164" fontId="9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164" fontId="7" fillId="3" borderId="1" applyAlignment="1" pivotButton="0" quotePrefix="0" xfId="0">
      <alignment horizontal="center"/>
    </xf>
    <xf numFmtId="164" fontId="10" fillId="2" borderId="2" applyAlignment="1" pivotButton="0" quotePrefix="0" xfId="0">
      <alignment horizontal="left" wrapText="1"/>
    </xf>
    <xf numFmtId="164" fontId="9" fillId="2" borderId="1" applyAlignment="1" pivotButton="0" quotePrefix="0" xfId="0">
      <alignment horizontal="center"/>
    </xf>
    <xf numFmtId="0" fontId="5" fillId="2" borderId="5" applyAlignment="1" pivotButton="0" quotePrefix="0" xfId="0">
      <alignment wrapText="1"/>
    </xf>
    <xf numFmtId="0" fontId="2" fillId="0" borderId="6" pivotButton="0" quotePrefix="0" xfId="0"/>
    <xf numFmtId="0" fontId="2" fillId="0" borderId="7" pivotButton="0" quotePrefix="0" xfId="0"/>
    <xf numFmtId="0" fontId="7" fillId="3" borderId="1" applyAlignment="1" pivotButton="0" quotePrefix="0" xfId="0">
      <alignment horizontal="center"/>
    </xf>
    <xf numFmtId="164" fontId="8" fillId="2" borderId="1" pivotButton="0" quotePrefix="0" xfId="0"/>
    <xf numFmtId="49" fontId="8" fillId="2" borderId="1" applyAlignment="1" pivotButton="0" quotePrefix="0" xfId="0">
      <alignment horizontal="center"/>
    </xf>
    <xf numFmtId="164" fontId="6" fillId="2" borderId="0" pivotButton="0" quotePrefix="0" xfId="0"/>
    <xf numFmtId="0" fontId="8" fillId="2" borderId="1" pivotButton="0" quotePrefix="0" xfId="0"/>
    <xf numFmtId="0" fontId="9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164" fontId="11" fillId="2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 wrapText="1"/>
    </xf>
    <xf numFmtId="0" fontId="8" fillId="2" borderId="1" applyAlignment="1" pivotButton="0" quotePrefix="0" xfId="0">
      <alignment horizontal="center" wrapText="1"/>
    </xf>
    <xf numFmtId="164" fontId="8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164" fontId="32" fillId="35" borderId="0" applyAlignment="1" pivotButton="0" quotePrefix="0" xfId="0">
      <alignment horizontal="right"/>
    </xf>
    <xf numFmtId="0" fontId="32" fillId="35" borderId="0" pivotButton="0" quotePrefix="0" xfId="0"/>
    <xf numFmtId="164" fontId="9" fillId="35" borderId="0" applyAlignment="1" pivotButton="0" quotePrefix="0" xfId="0">
      <alignment horizontal="center"/>
    </xf>
    <xf numFmtId="0" fontId="0" fillId="35" borderId="0" pivotButton="0" quotePrefix="0" xfId="0"/>
    <xf numFmtId="164" fontId="9" fillId="2" borderId="0" applyAlignment="1" pivotButton="0" quotePrefix="0" xfId="0">
      <alignment horizontal="right"/>
    </xf>
    <xf numFmtId="164" fontId="9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164" fontId="7" fillId="3" borderId="1" applyAlignment="1" pivotButton="0" quotePrefix="0" xfId="0">
      <alignment horizontal="center"/>
    </xf>
    <xf numFmtId="164" fontId="10" fillId="2" borderId="1" applyAlignment="1" pivotButton="0" quotePrefix="0" xfId="0">
      <alignment horizontal="left" wrapText="1"/>
    </xf>
    <xf numFmtId="164" fontId="9" fillId="2" borderId="1" applyAlignment="1" pivotButton="0" quotePrefix="0" xfId="0">
      <alignment horizontal="center"/>
    </xf>
    <xf numFmtId="0" fontId="5" fillId="2" borderId="18" applyAlignment="1" pivotButton="0" quotePrefix="0" xfId="0">
      <alignment wrapText="1"/>
    </xf>
    <xf numFmtId="0" fontId="0" fillId="0" borderId="6" pivotButton="0" quotePrefix="0" xfId="0"/>
    <xf numFmtId="0" fontId="0" fillId="0" borderId="7" pivotButton="0" quotePrefix="0" xfId="0"/>
    <xf numFmtId="164" fontId="6" fillId="2" borderId="0" pivotButton="0" quotePrefix="0" xfId="0"/>
    <xf numFmtId="164" fontId="8" fillId="2" borderId="1" applyAlignment="1" pivotButton="0" quotePrefix="0" xfId="0">
      <alignment horizontal="center"/>
    </xf>
    <xf numFmtId="164" fontId="11" fillId="2" borderId="0" applyAlignment="1" pivotButton="0" quotePrefix="0" xfId="0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1121410</colOff>
      <row>0</row>
      <rowOff>255905</rowOff>
    </from>
    <ext cx="5962650" cy="962025"/>
    <pic>
      <nvPicPr>
        <cNvPr id="2" name="image1.png" title="Изображение"/>
        <cNvPicPr preferRelativeResize="0"/>
      </nvPicPr>
      <blipFill>
        <a:blip cstate="print" r:embed="rId1"/>
        <a:stretch>
          <a:fillRect/>
        </a:stretch>
      </blipFill>
      <spPr>
        <a:xfrm>
          <a:off x="1121410" y="255905"/>
          <a:ext cx="5962650" cy="96202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rastenika.ru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T109"/>
  <sheetViews>
    <sheetView tabSelected="1" topLeftCell="A4" zoomScale="70" zoomScaleNormal="70" workbookViewId="0">
      <selection activeCell="H3" sqref="H3"/>
    </sheetView>
  </sheetViews>
  <sheetFormatPr baseColWidth="8" defaultColWidth="12.6285714285714" defaultRowHeight="15" customHeight="1"/>
  <cols>
    <col width="43.3809523809524" customWidth="1" min="1" max="1"/>
    <col width="21.3809523809524" customWidth="1" min="2" max="2"/>
    <col width="16.3809523809524" customWidth="1" min="3" max="3"/>
    <col width="18.1333333333333" customWidth="1" min="4" max="4"/>
    <col width="20.752380952381" customWidth="1" min="5" max="5"/>
    <col width="11.1333333333333" customWidth="1" min="6" max="26"/>
  </cols>
  <sheetData>
    <row r="1" ht="98.25" customHeight="1">
      <c r="A1" s="1" t="n"/>
    </row>
    <row r="2" ht="43.5" customHeight="1">
      <c r="A2" s="3" t="inlineStr">
        <is>
          <t xml:space="preserve">Коммерческое предложение </t>
        </is>
      </c>
    </row>
    <row r="3" ht="34.5" customHeight="1">
      <c r="A3" s="4" t="inlineStr">
        <is>
          <t>https://rastenika.ru/</t>
        </is>
      </c>
    </row>
    <row r="4" ht="38.25" customHeight="1">
      <c r="A4" s="3" t="inlineStr">
        <is>
          <t>8(931)333-18-33</t>
        </is>
      </c>
    </row>
    <row r="5" ht="48.75" customHeight="1">
      <c r="A5" s="5" t="inlineStr">
        <is>
          <t>Растения</t>
        </is>
      </c>
      <c r="B5" s="6" t="n"/>
      <c r="C5" s="6" t="n"/>
      <c r="D5" s="6" t="n"/>
      <c r="E5" s="6" t="n"/>
    </row>
    <row r="6" ht="33.75" customHeight="1">
      <c r="A6" s="7" t="inlineStr">
        <is>
          <t>Наименование</t>
        </is>
      </c>
      <c r="B6" s="7" t="inlineStr">
        <is>
          <t>Кондиция, см</t>
        </is>
      </c>
      <c r="C6" s="7" t="inlineStr">
        <is>
          <t>Кол-во, шт</t>
        </is>
      </c>
      <c r="D6" s="33" t="inlineStr">
        <is>
          <t>Цена. за ед.</t>
        </is>
      </c>
      <c r="E6" s="33" t="inlineStr">
        <is>
          <t>Сумма, руб</t>
        </is>
      </c>
    </row>
    <row r="7" ht="25.5" customHeight="1">
      <c r="A7" s="9" t="inlineStr">
        <is>
          <t>Туя восточная Justynka</t>
        </is>
      </c>
      <c r="B7" s="34" t="inlineStr">
        <is>
          <t>100-120 C25</t>
        </is>
      </c>
      <c r="C7" s="34" t="n">
        <v>1</v>
      </c>
      <c r="D7" s="35" t="n">
        <v>13500</v>
      </c>
      <c r="E7" s="35" t="n">
        <v>13500</v>
      </c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</row>
    <row r="8" ht="25.5" customHeight="1">
      <c r="A8" s="9" t="inlineStr">
        <is>
          <t>Барбарис Тунберга "Coral" 10-20 см</t>
        </is>
      </c>
      <c r="B8" s="34" t="inlineStr"/>
      <c r="C8" s="34" t="n">
        <v>1</v>
      </c>
      <c r="D8" s="35" t="n">
        <v>1957.5</v>
      </c>
      <c r="E8" s="35" t="n">
        <v>1957.5</v>
      </c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</row>
    <row r="9" ht="25.5" customHeight="1">
      <c r="A9" s="9" t="inlineStr">
        <is>
          <t>Барбарис Тунберга "Carmen" 10-20 см</t>
        </is>
      </c>
      <c r="B9" s="34" t="inlineStr"/>
      <c r="C9" s="34" t="n">
        <v>1</v>
      </c>
      <c r="D9" s="35" t="n">
        <v>1687.5</v>
      </c>
      <c r="E9" s="35" t="n">
        <v>1687.5</v>
      </c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</row>
    <row r="10" ht="25.5" customHeight="1">
      <c r="A10" s="37" t="inlineStr">
        <is>
          <t>ИТОГО, к оплате:</t>
        </is>
      </c>
      <c r="B10" s="38" t="n"/>
      <c r="C10" s="38" t="n"/>
      <c r="D10" s="38" t="n"/>
      <c r="E10" s="39" t="n">
        <v>12700</v>
      </c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</row>
    <row r="11" ht="15.75" customHeight="1">
      <c r="A11" s="41" t="n"/>
      <c r="B11" s="41" t="n"/>
      <c r="C11" s="41" t="n"/>
      <c r="D11" s="41" t="n"/>
      <c r="E11" s="42" t="n"/>
    </row>
    <row r="12" ht="36.75" customHeight="1">
      <c r="A12" s="43" t="inlineStr">
        <is>
          <t>Посадка</t>
        </is>
      </c>
      <c r="B12" s="41" t="n"/>
      <c r="C12" s="41" t="n"/>
      <c r="D12" s="41" t="n"/>
      <c r="E12" s="42" t="n"/>
    </row>
    <row r="13" ht="33" customHeight="1">
      <c r="A13" s="25" t="inlineStr">
        <is>
          <t>Наименование</t>
        </is>
      </c>
      <c r="B13" s="44" t="n"/>
      <c r="C13" s="44" t="n"/>
      <c r="D13" s="45" t="n"/>
      <c r="E13" s="46" t="inlineStr">
        <is>
          <t>Сумма, руб</t>
        </is>
      </c>
    </row>
    <row r="14" ht="38.25" customHeight="1">
      <c r="A14" s="47" t="inlineStr">
        <is>
          <t>Посадка стандартная (Выемка грунта, посадка растений, создание приствольного круга)</t>
        </is>
      </c>
      <c r="B14" s="44" t="n"/>
      <c r="C14" s="44" t="n"/>
      <c r="D14" s="45" t="n"/>
      <c r="E14" s="48">
        <f>E10*0.35</f>
        <v/>
      </c>
    </row>
    <row r="15" ht="25.5" customHeight="1">
      <c r="A15" s="37" t="inlineStr">
        <is>
          <t>ИТОГО, к оплате:</t>
        </is>
      </c>
      <c r="B15" s="38" t="n"/>
      <c r="C15" s="38" t="n"/>
      <c r="D15" s="38" t="n"/>
      <c r="E15" s="39" t="n">
        <v>4445</v>
      </c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0" t="n"/>
      <c r="R15" s="40" t="n"/>
      <c r="S15" s="40" t="n"/>
      <c r="T15" s="40" t="n"/>
    </row>
    <row r="16" ht="34.5" customHeight="1">
      <c r="A16" s="49" t="inlineStr">
        <is>
          <t>Материалы</t>
        </is>
      </c>
      <c r="B16" s="50" t="n"/>
      <c r="C16" s="50" t="n"/>
      <c r="D16" s="50" t="n"/>
      <c r="E16" s="51" t="n"/>
    </row>
    <row r="17" ht="24" customHeight="1">
      <c r="A17" s="25" t="inlineStr">
        <is>
          <t>Наименование</t>
        </is>
      </c>
      <c r="B17" s="25" t="inlineStr">
        <is>
          <t>Ед. Измер.</t>
        </is>
      </c>
      <c r="C17" s="25" t="inlineStr">
        <is>
          <t>Кол-во</t>
        </is>
      </c>
      <c r="D17" s="46" t="inlineStr">
        <is>
          <t>Цена. за ед.</t>
        </is>
      </c>
      <c r="E17" s="46" t="inlineStr">
        <is>
          <t>Сумма, руб</t>
        </is>
      </c>
    </row>
    <row r="18" ht="25.5" customHeight="1">
      <c r="A18" s="37" t="inlineStr">
        <is>
          <t>ИТОГО, к оплате:</t>
        </is>
      </c>
      <c r="B18" s="38" t="n"/>
      <c r="C18" s="38" t="n"/>
      <c r="D18" s="38" t="n"/>
      <c r="E18" s="39" t="n">
        <v>12700</v>
      </c>
      <c r="F18" s="40" t="n"/>
      <c r="G18" s="40" t="n"/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0" t="n"/>
      <c r="S18" s="40" t="n"/>
      <c r="T18" s="40" t="n"/>
    </row>
    <row r="19" ht="18.75" customHeight="1">
      <c r="A19" s="5" t="inlineStr">
        <is>
          <t>Доставка</t>
        </is>
      </c>
      <c r="B19" s="6" t="n"/>
      <c r="C19" s="6" t="n"/>
      <c r="D19" s="6" t="n"/>
      <c r="E19" s="52" t="n"/>
    </row>
    <row r="20" ht="15.75" customHeight="1">
      <c r="A20" s="25" t="inlineStr">
        <is>
          <t>Наименование</t>
        </is>
      </c>
      <c r="B20" s="25" t="inlineStr">
        <is>
          <t>Ед. Измер.</t>
        </is>
      </c>
      <c r="C20" s="25" t="inlineStr">
        <is>
          <t>Кол-во</t>
        </is>
      </c>
      <c r="D20" s="46" t="inlineStr">
        <is>
          <t>Цена. за ед.</t>
        </is>
      </c>
      <c r="E20" s="46" t="inlineStr">
        <is>
          <t>Сумма, руб</t>
        </is>
      </c>
    </row>
    <row r="21" ht="39" customHeight="1">
      <c r="A21" s="29" t="inlineStr">
        <is>
          <t>Доставка с разгрузкой</t>
        </is>
      </c>
      <c r="B21" s="10" t="inlineStr">
        <is>
          <t>Рейс</t>
        </is>
      </c>
      <c r="C21" s="10" t="n"/>
      <c r="D21" s="53" t="n"/>
      <c r="E21" s="53">
        <f>C23*D23</f>
        <v/>
      </c>
    </row>
    <row r="22" ht="25.5" customHeight="1">
      <c r="A22" s="30" t="inlineStr">
        <is>
          <t>ИТОГО, к оплате:</t>
        </is>
      </c>
      <c r="E22" s="42">
        <f>SUM(E23)</f>
        <v/>
      </c>
    </row>
    <row r="23" ht="18.75" customHeight="1">
      <c r="A23" s="31" t="inlineStr">
        <is>
          <t>ИТОГО, к оплате:</t>
        </is>
      </c>
      <c r="E23" s="54">
        <f>SUM(E10+E15+E20+E24)</f>
        <v/>
      </c>
    </row>
    <row r="24" ht="21.75" customHeight="1"/>
    <row r="25" ht="28.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3">
    <mergeCell ref="A18:D18"/>
    <mergeCell ref="A4:E4"/>
    <mergeCell ref="A2:E2"/>
    <mergeCell ref="A16:E16"/>
    <mergeCell ref="A20:D20"/>
    <mergeCell ref="A15:D15"/>
    <mergeCell ref="A1:E1"/>
    <mergeCell ref="A25:D25"/>
    <mergeCell ref="A24:D24"/>
    <mergeCell ref="A10:D10"/>
    <mergeCell ref="A13:D13"/>
    <mergeCell ref="A14:D14"/>
    <mergeCell ref="A3:E3"/>
  </mergeCells>
  <hyperlinks>
    <hyperlink xmlns:r="http://schemas.openxmlformats.org/officeDocument/2006/relationships" ref="A3" display="https://rastenika.ru/" r:id="rId1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2026-03-31T09:18:00Z</dcterms:created>
  <dcterms:modified xsi:type="dcterms:W3CDTF">2026-04-02T08:31:55Z</dcterms:modified>
  <cp:lastModifiedBy>Server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4D1C4C8ADD6545A7818E02A30316DB40_12</vt:lpwstr>
  </property>
  <property name="KSOProductBuildVer" fmtid="{D5CDD505-2E9C-101B-9397-08002B2CF9AE}" pid="3">
    <vt:lpwstr>1049-12.2.0.23196</vt:lpwstr>
  </property>
</Properties>
</file>